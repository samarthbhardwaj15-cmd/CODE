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013285ae915a9ff/Documents/"/>
    </mc:Choice>
  </mc:AlternateContent>
  <xr:revisionPtr revIDLastSave="588" documentId="8_{68B3E312-82C8-46D0-AD84-74C267DB0A4D}" xr6:coauthVersionLast="47" xr6:coauthVersionMax="47" xr10:uidLastSave="{5512DB21-9F26-4DC3-B130-22A28D922597}"/>
  <bookViews>
    <workbookView minimized="1" xWindow="1920" yWindow="1920" windowWidth="17280" windowHeight="8880" activeTab="2" xr2:uid="{F75851D4-7037-421C-A24F-C2C094EB36F2}"/>
  </bookViews>
  <sheets>
    <sheet name="Sheet2" sheetId="2" r:id="rId1"/>
    <sheet name="Sheet3" sheetId="3" r:id="rId2"/>
    <sheet name="Sheet1" sheetId="1" r:id="rId3"/>
  </sheets>
  <definedNames>
    <definedName name="_xlnm._FilterDatabase" localSheetId="2" hidden="1">Sheet1!$A$24:$C$26</definedName>
    <definedName name="Slicer_Column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1" l="1"/>
  <c r="E13" i="1"/>
  <c r="E12" i="1"/>
  <c r="E11" i="1"/>
  <c r="D13" i="1"/>
  <c r="D12" i="1"/>
  <c r="D11" i="1"/>
  <c r="C13" i="1"/>
  <c r="C12" i="1"/>
  <c r="C11" i="1"/>
  <c r="K8" i="1"/>
  <c r="K6" i="1"/>
  <c r="K7" i="1"/>
  <c r="K5" i="1"/>
  <c r="K4" i="1"/>
  <c r="J8" i="1"/>
  <c r="J6" i="1"/>
  <c r="I6" i="1"/>
  <c r="J7" i="1"/>
  <c r="J5" i="1"/>
  <c r="J4" i="1"/>
  <c r="I8" i="1"/>
  <c r="I7" i="1"/>
  <c r="I5" i="1"/>
  <c r="I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tc={2DF95C4F-42F4-4ED8-8537-D9EBD3CD9F63}</author>
  </authors>
  <commentList>
    <comment ref="B7" authorId="0" shapeId="0" xr:uid="{2DF95C4F-42F4-4ED8-8537-D9EBD3CD9F63}">
      <text>
        <t xml:space="preserve">[Threaded comment]
Your version of Excel allows you to read this threaded comment; however, any edits to it will get removed if the file is opened in a newer version of Excel. Learn more: https://go.microsoft.com/fwlink/?linkid=870924
Comment:
    Mat padh </t>
      </text>
    </comment>
  </commentList>
</comments>
</file>

<file path=xl/sharedStrings.xml><?xml version="1.0" encoding="utf-8"?>
<sst xmlns="http://schemas.openxmlformats.org/spreadsheetml/2006/main" count="93" uniqueCount="76">
  <si>
    <t>S.No</t>
  </si>
  <si>
    <t>ENGLISH</t>
  </si>
  <si>
    <t>NONE</t>
  </si>
  <si>
    <t>NON</t>
  </si>
  <si>
    <t>NO</t>
  </si>
  <si>
    <t>NOE</t>
  </si>
  <si>
    <t>ONE</t>
  </si>
  <si>
    <t>15/08/2007</t>
  </si>
  <si>
    <t>15/08/2008</t>
  </si>
  <si>
    <t>15/08/2009</t>
  </si>
  <si>
    <t>15/08/2010</t>
  </si>
  <si>
    <t>MATH</t>
  </si>
  <si>
    <t>SCIENCE</t>
  </si>
  <si>
    <t>HINDI</t>
  </si>
  <si>
    <t>LAST_NAME</t>
  </si>
  <si>
    <t>13/07/2006</t>
  </si>
  <si>
    <t>sama</t>
  </si>
  <si>
    <t>noal</t>
  </si>
  <si>
    <t>root</t>
  </si>
  <si>
    <t>goal</t>
  </si>
  <si>
    <t>fill</t>
  </si>
  <si>
    <t>AVERAGE NUMBER</t>
  </si>
  <si>
    <t>FULLNAME</t>
  </si>
  <si>
    <t>TOTALNUMBER</t>
  </si>
  <si>
    <t>round</t>
  </si>
  <si>
    <t>roundup</t>
  </si>
  <si>
    <t>roundown</t>
  </si>
  <si>
    <t xml:space="preserve"> First_name</t>
  </si>
  <si>
    <t>DOB</t>
  </si>
  <si>
    <t>Column1</t>
  </si>
  <si>
    <t>category</t>
  </si>
  <si>
    <t>SC</t>
  </si>
  <si>
    <t>ST</t>
  </si>
  <si>
    <t>OBC</t>
  </si>
  <si>
    <t>General</t>
  </si>
  <si>
    <t>priya</t>
  </si>
  <si>
    <t>anjali</t>
  </si>
  <si>
    <t>panfid</t>
  </si>
  <si>
    <t>jwhipo</t>
  </si>
  <si>
    <t>name</t>
  </si>
  <si>
    <t>STUDENT RECORD</t>
  </si>
  <si>
    <t>Column2</t>
  </si>
  <si>
    <t>Column3</t>
  </si>
  <si>
    <t>priya@gmail.com</t>
  </si>
  <si>
    <t>gmail.com</t>
  </si>
  <si>
    <t>ra</t>
  </si>
  <si>
    <t>j</t>
  </si>
  <si>
    <t>ya</t>
  </si>
  <si>
    <t>dav</t>
  </si>
  <si>
    <t>ne</t>
  </si>
  <si>
    <t>h</t>
  </si>
  <si>
    <t>ak</t>
  </si>
  <si>
    <t>akar</t>
  </si>
  <si>
    <t>de</t>
  </si>
  <si>
    <t>v</t>
  </si>
  <si>
    <t>il</t>
  </si>
  <si>
    <t>note</t>
  </si>
  <si>
    <t>Name</t>
  </si>
  <si>
    <t>rahul verma</t>
  </si>
  <si>
    <t xml:space="preserve"> Aman</t>
  </si>
  <si>
    <t>Divya Kapil</t>
  </si>
  <si>
    <t>salary</t>
  </si>
  <si>
    <t xml:space="preserve">Age </t>
  </si>
  <si>
    <t>Gender</t>
  </si>
  <si>
    <t xml:space="preserve">department </t>
  </si>
  <si>
    <t>Raiya</t>
  </si>
  <si>
    <t>Goul</t>
  </si>
  <si>
    <t>male</t>
  </si>
  <si>
    <t>female</t>
  </si>
  <si>
    <t>AI</t>
  </si>
  <si>
    <t>CSE</t>
  </si>
  <si>
    <t>DI</t>
  </si>
  <si>
    <t>Rating</t>
  </si>
  <si>
    <t>Salary</t>
  </si>
  <si>
    <t>rating</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</si>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</sst>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8"/>
      <name val="Aptos Narrow"/>
      <family val="2"/>
      <scheme val="minor"/>
    </font>
    <font>
      <b/>
      <sz val="11"/>
      <color theme="1"/>
      <name val="Aptos Narrow"/>
      <family val="2"/>
      <scheme val="minor"/>
    </font>
    <font>
      <sz val="8"/>
      <color rgb="FFC9D1D9"/>
      <name val="Consolas"/>
      <family val="3"/>
    </font>
    <font>
      <sz val="11"/>
      <color theme="1"/>
      <name val="Aptos Display"/>
      <family val="2"/>
      <scheme val="major"/>
    </font>
    <font>
      <sz val="11"/>
      <color theme="1"/>
      <name val="Aptos Display"/>
      <family val="2"/>
    </font>
    <font>
      <sz val="11"/>
      <color theme="1"/>
      <name val="Aptos"/>
      <family val="2"/>
    </font>
    <font>
      <sz val="11"/>
      <color theme="1"/>
      <name val="Aptos Narrow"/>
      <family val="2"/>
    </font>
    <font>
      <sz val="8"/>
      <color theme="1"/>
      <name val="Aptos"/>
      <family val="2"/>
    </font>
    <font>
      <u/>
      <sz val="11"/>
      <color theme="1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9" fillId="0" borderId="0" applyNumberFormat="0" applyFill="0" applyBorder="0" applyAlignment="0" applyProtection="0"/>
  </cellStyleXfs>
  <cellXfs count="20">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4" fillId="0" borderId="1" xfId="0" applyFont="1" applyBorder="1" applyAlignment="1">
      <alignment horizontal="center" vertical="center"/>
    </xf>
    <xf numFmtId="14"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2" borderId="1" xfId="0" applyFont="1" applyFill="1" applyBorder="1" applyAlignment="1">
      <alignment horizontal="center" vertical="center"/>
    </xf>
    <xf numFmtId="0" fontId="8" fillId="2" borderId="0" xfId="0" applyFont="1" applyFill="1"/>
    <xf numFmtId="0" fontId="8" fillId="2" borderId="2" xfId="0" applyFont="1" applyFill="1" applyBorder="1" applyAlignment="1">
      <alignment horizontal="center" vertical="center"/>
    </xf>
    <xf numFmtId="0" fontId="6" fillId="0" borderId="0" xfId="0" applyFont="1" applyAlignment="1">
      <alignment horizontal="center" vertical="center"/>
    </xf>
    <xf numFmtId="14" fontId="0" fillId="0" borderId="0" xfId="0" applyNumberFormat="1" applyAlignment="1">
      <alignment horizontal="center" vertical="center"/>
    </xf>
    <xf numFmtId="0" fontId="9" fillId="2" borderId="1" xfId="1" applyFill="1" applyBorder="1" applyAlignment="1">
      <alignment horizontal="center" vertical="center"/>
    </xf>
    <xf numFmtId="0" fontId="3" fillId="3" borderId="0" xfId="0" applyFont="1" applyFill="1" applyAlignment="1">
      <alignment vertical="center"/>
    </xf>
    <xf numFmtId="0" fontId="9" fillId="0" borderId="0" xfId="1"/>
    <xf numFmtId="0" fontId="2" fillId="4" borderId="0" xfId="0" applyFont="1" applyFill="1" applyAlignment="1">
      <alignment horizontal="center" vertical="center"/>
    </xf>
    <xf numFmtId="1" fontId="0" fillId="0" borderId="0" xfId="0" applyNumberFormat="1"/>
    <xf numFmtId="0" fontId="0" fillId="0" borderId="0" xfId="0" applyAlignment="1">
      <alignment vertical="top"/>
    </xf>
  </cellXfs>
  <cellStyles count="2">
    <cellStyle name="Hyperlink" xfId="1" builtinId="8"/>
    <cellStyle name="Normal" xfId="0" builtinId="0"/>
  </cellStyles>
  <dxfs count="11">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331259104120934"/>
          <c:y val="0.19486111111111112"/>
          <c:w val="0.84139329131173179"/>
          <c:h val="0.72125801983085447"/>
        </c:manualLayout>
      </c:layout>
      <c:scatterChart>
        <c:scatterStyle val="lineMarker"/>
        <c:varyColors val="0"/>
        <c:ser>
          <c:idx val="0"/>
          <c:order val="0"/>
          <c:tx>
            <c:strRef>
              <c:f>Sheet1!$J$3</c:f>
              <c:strCache>
                <c:ptCount val="1"/>
                <c:pt idx="0">
                  <c:v>AVERAGE NUMBER</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yVal>
            <c:numRef>
              <c:f>Sheet1!$J$4:$J$8</c:f>
              <c:numCache>
                <c:formatCode>General</c:formatCode>
                <c:ptCount val="5"/>
                <c:pt idx="0">
                  <c:v>54.666666666666664</c:v>
                </c:pt>
                <c:pt idx="1">
                  <c:v>63.75</c:v>
                </c:pt>
                <c:pt idx="2">
                  <c:v>63.25</c:v>
                </c:pt>
                <c:pt idx="3">
                  <c:v>45</c:v>
                </c:pt>
                <c:pt idx="4">
                  <c:v>69.5</c:v>
                </c:pt>
              </c:numCache>
            </c:numRef>
          </c:yVal>
          <c:smooth val="0"/>
          <c:extLst>
            <c:ext xmlns:c16="http://schemas.microsoft.com/office/drawing/2014/chart" uri="{C3380CC4-5D6E-409C-BE32-E72D297353CC}">
              <c16:uniqueId val="{00000000-32C9-4174-9273-431526A4A64B}"/>
            </c:ext>
          </c:extLst>
        </c:ser>
        <c:dLbls>
          <c:showLegendKey val="0"/>
          <c:showVal val="0"/>
          <c:showCatName val="0"/>
          <c:showSerName val="0"/>
          <c:showPercent val="0"/>
          <c:showBubbleSize val="0"/>
        </c:dLbls>
        <c:axId val="61889696"/>
        <c:axId val="1906606096"/>
      </c:scatterChart>
      <c:valAx>
        <c:axId val="61889696"/>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6606096"/>
        <c:crosses val="autoZero"/>
        <c:crossBetween val="midCat"/>
      </c:valAx>
      <c:valAx>
        <c:axId val="1906606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896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370839</xdr:colOff>
      <xdr:row>0</xdr:row>
      <xdr:rowOff>60960</xdr:rowOff>
    </xdr:from>
    <xdr:to>
      <xdr:col>7</xdr:col>
      <xdr:colOff>299720</xdr:colOff>
      <xdr:row>1</xdr:row>
      <xdr:rowOff>154090</xdr:rowOff>
    </xdr:to>
    <xdr:pic>
      <xdr:nvPicPr>
        <xdr:cNvPr id="2" name="Picture 1">
          <a:extLst>
            <a:ext uri="{FF2B5EF4-FFF2-40B4-BE49-F238E27FC236}">
              <a16:creationId xmlns:a16="http://schemas.microsoft.com/office/drawing/2014/main" id="{1D27738A-B578-2E6A-A3B0-E5F03CE0C784}"/>
            </a:ext>
          </a:extLst>
        </xdr:cNvPr>
        <xdr:cNvPicPr>
          <a:picLocks noChangeAspect="1"/>
        </xdr:cNvPicPr>
      </xdr:nvPicPr>
      <xdr:blipFill>
        <a:blip xmlns:r="http://schemas.openxmlformats.org/officeDocument/2006/relationships" r:embed="rId1"/>
        <a:stretch>
          <a:fillRect/>
        </a:stretch>
      </xdr:blipFill>
      <xdr:spPr>
        <a:xfrm>
          <a:off x="3835399" y="60960"/>
          <a:ext cx="518161" cy="276010"/>
        </a:xfrm>
        <a:prstGeom prst="rect">
          <a:avLst/>
        </a:prstGeom>
      </xdr:spPr>
    </xdr:pic>
    <xdr:clientData/>
  </xdr:twoCellAnchor>
  <xdr:twoCellAnchor editAs="absolute">
    <xdr:from>
      <xdr:col>4</xdr:col>
      <xdr:colOff>825500</xdr:colOff>
      <xdr:row>10</xdr:row>
      <xdr:rowOff>106681</xdr:rowOff>
    </xdr:from>
    <xdr:to>
      <xdr:col>7</xdr:col>
      <xdr:colOff>601980</xdr:colOff>
      <xdr:row>22</xdr:row>
      <xdr:rowOff>81281</xdr:rowOff>
    </xdr:to>
    <mc:AlternateContent xmlns:mc="http://schemas.openxmlformats.org/markup-compatibility/2006" xmlns:sle15="http://schemas.microsoft.com/office/drawing/2012/slicer">
      <mc:Choice Requires="sle15">
        <xdr:graphicFrame macro="">
          <xdr:nvGraphicFramePr>
            <xdr:cNvPr id="3" name="Column3">
              <a:extLst>
                <a:ext uri="{FF2B5EF4-FFF2-40B4-BE49-F238E27FC236}">
                  <a16:creationId xmlns:a16="http://schemas.microsoft.com/office/drawing/2014/main" id="{87E778C2-6A41-C968-279E-17D6076C0186}"/>
                </a:ext>
              </a:extLst>
            </xdr:cNvPr>
            <xdr:cNvGraphicFramePr/>
          </xdr:nvGraphicFramePr>
          <xdr:xfrm>
            <a:off x="0" y="0"/>
            <a:ext cx="0" cy="0"/>
          </xdr:xfrm>
          <a:graphic>
            <a:graphicData uri="http://schemas.microsoft.com/office/drawing/2010/slicer">
              <sle:slicer xmlns:sle="http://schemas.microsoft.com/office/drawing/2010/slicer" name="Column3"/>
            </a:graphicData>
          </a:graphic>
        </xdr:graphicFrame>
      </mc:Choice>
      <mc:Fallback xmlns="">
        <xdr:sp macro="" textlink="">
          <xdr:nvSpPr>
            <xdr:cNvPr id="0" name=""/>
            <xdr:cNvSpPr>
              <a:spLocks noTextEdit="1"/>
            </xdr:cNvSpPr>
          </xdr:nvSpPr>
          <xdr:spPr>
            <a:xfrm>
              <a:off x="3873500" y="1905001"/>
              <a:ext cx="1828800" cy="16205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96520</xdr:colOff>
      <xdr:row>8</xdr:row>
      <xdr:rowOff>96520</xdr:rowOff>
    </xdr:from>
    <xdr:to>
      <xdr:col>15</xdr:col>
      <xdr:colOff>27940</xdr:colOff>
      <xdr:row>25</xdr:row>
      <xdr:rowOff>96520</xdr:rowOff>
    </xdr:to>
    <xdr:graphicFrame macro="">
      <xdr:nvGraphicFramePr>
        <xdr:cNvPr id="10" name="Chart 9">
          <a:extLst>
            <a:ext uri="{FF2B5EF4-FFF2-40B4-BE49-F238E27FC236}">
              <a16:creationId xmlns:a16="http://schemas.microsoft.com/office/drawing/2014/main" id="{D3D3E0F5-93B7-0038-F23C-BAC24FF81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MARTH BHARDWAJ" id="{379B2EDC-2F44-432E-B47B-DE700C6F7FA5}" userId="5013285ae915a9ff" providerId="Windows Liv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3" xr10:uid="{AD59D79B-FB4C-47C9-8EA0-BCC3E3711C06}" sourceName="Column3">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3" xr10:uid="{BF2961DB-6197-4A5A-8A4B-69D4296D7099}" cache="Slicer_Column3" caption="Column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FD93F-DB8A-4351-8D26-E87ABA7D468D}" name="Table1" displayName="Table1" ref="B15:D20" totalsRowShown="0">
  <autoFilter ref="B15:D20" xr:uid="{794FD93F-DB8A-4351-8D26-E87ABA7D468D}">
    <filterColumn colId="2">
      <filters>
        <filter val="ST"/>
      </filters>
    </filterColumn>
  </autoFilter>
  <tableColumns count="3">
    <tableColumn id="1" xr3:uid="{9AA43906-A7DD-4A9B-AB9B-A5332E1343D9}" name="Column1"/>
    <tableColumn id="2" xr3:uid="{3B00E314-A886-4FC2-A724-24DB2C5A7174}" name="Column2"/>
    <tableColumn id="3" xr3:uid="{08F84CA2-EBDF-455B-96A8-D36478F52E9E}" name="Column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FDCB65-B086-4F35-B9B9-8E0A7EE46914}" name="Table2" displayName="Table2" ref="A32:H37" totalsRowShown="0" headerRowDxfId="0" dataDxfId="1">
  <autoFilter ref="A32:H37" xr:uid="{F2FDCB65-B086-4F35-B9B9-8E0A7EE46914}"/>
  <tableColumns count="8">
    <tableColumn id="1" xr3:uid="{3EA41A78-2812-4F50-92F3-FCD72D2EF1E1}" name="Column1" dataDxfId="9"/>
    <tableColumn id="2" xr3:uid="{605917DF-4632-435A-BE6F-F39E3D4AAF34}" name="Name" dataDxfId="8"/>
    <tableColumn id="3" xr3:uid="{2EA53561-C426-4318-927E-CE5CE0EB88F4}" name="Age " dataDxfId="7"/>
    <tableColumn id="4" xr3:uid="{E758E341-76EC-4122-8043-88335F4EDB6A}" name="Gender" dataDxfId="6"/>
    <tableColumn id="5" xr3:uid="{20647BBA-7953-4E8D-94B9-13832EC40E7B}" name="department " dataDxfId="5"/>
    <tableColumn id="6" xr3:uid="{ADAC2423-AACF-4E0F-90F8-DB197CA93CC3}" name="salary" dataDxfId="4"/>
    <tableColumn id="7" xr3:uid="{EA8F86EE-B3B5-41DC-B727-ECCA0AE70164}" name="Rating" dataDxfId="3"/>
    <tableColumn id="8" xr3:uid="{2C5F752E-F0DA-4EB3-BBF1-5A7E4D6489C4}" name="Column2"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9-29T05:00:20.75" personId="{379B2EDC-2F44-432E-B47B-DE700C6F7FA5}" id="{2DF95C4F-42F4-4ED8-8537-D9EBD3CD9F63}">
    <text xml:space="preserve">Mat padh </text>
  </threadedComment>
</ThreadedComment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mailto:priya@gmail.com" TargetMode="External"/><Relationship Id="rId7" Type="http://schemas.openxmlformats.org/officeDocument/2006/relationships/table" Target="../tables/table1.xml"/><Relationship Id="rId2" Type="http://schemas.openxmlformats.org/officeDocument/2006/relationships/hyperlink" Target="mailto:priya@gmail.com" TargetMode="External"/><Relationship Id="rId1" Type="http://schemas.openxmlformats.org/officeDocument/2006/relationships/hyperlink" Target="https://github.com/new" TargetMode="External"/><Relationship Id="rId6" Type="http://schemas.openxmlformats.org/officeDocument/2006/relationships/vmlDrawing" Target="../drawings/vmlDrawing1.vml"/><Relationship Id="rId11" Type="http://schemas.microsoft.com/office/2017/10/relationships/threadedComment" Target="../threadedComments/threadedComment1.xml"/><Relationship Id="rId5" Type="http://schemas.openxmlformats.org/officeDocument/2006/relationships/drawing" Target="../drawings/drawing1.xml"/><Relationship Id="rId10" Type="http://schemas.openxmlformats.org/officeDocument/2006/relationships/comments" Target="../comments1.xml"/><Relationship Id="rId4" Type="http://schemas.openxmlformats.org/officeDocument/2006/relationships/printerSettings" Target="../printerSettings/printerSettings1.bin"/><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A4F9-6BAA-4DE5-A507-61E9143BFB9E}">
  <dimension ref="A1"/>
  <sheetViews>
    <sheetView zoomScaleNormal="100"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333C-0831-4BA5-8218-7B4330320EFB}">
  <dimension ref="A1"/>
  <sheetViews>
    <sheetView zoomScaleNormal="100" workbookViewId="0">
      <selection activeCell="A3" sqref="A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61277-D71E-4A54-8CF6-E4BD73ED9D76}">
  <dimension ref="A1:M37"/>
  <sheetViews>
    <sheetView tabSelected="1" zoomScale="150" workbookViewId="0">
      <selection activeCell="H5" sqref="H5"/>
    </sheetView>
  </sheetViews>
  <sheetFormatPr defaultRowHeight="14.4" x14ac:dyDescent="0.3"/>
  <cols>
    <col min="1" max="1" width="9.88671875" customWidth="1"/>
    <col min="2" max="2" width="10.21875" bestFit="1" customWidth="1"/>
    <col min="3" max="3" width="13.88671875" bestFit="1" customWidth="1"/>
    <col min="4" max="4" width="10.33203125" bestFit="1" customWidth="1"/>
    <col min="5" max="5" width="12.44140625" customWidth="1"/>
    <col min="7" max="7" width="8.5546875" bestFit="1" customWidth="1"/>
    <col min="8" max="8" width="9.88671875" customWidth="1"/>
  </cols>
  <sheetData>
    <row r="1" spans="1:11" x14ac:dyDescent="0.3">
      <c r="A1" s="17" t="s">
        <v>40</v>
      </c>
      <c r="B1" s="17"/>
      <c r="C1" s="17"/>
      <c r="D1" s="17"/>
      <c r="E1" s="17"/>
      <c r="F1" s="17"/>
      <c r="G1" s="17"/>
      <c r="H1" s="17"/>
      <c r="I1" s="17"/>
      <c r="J1" s="17"/>
      <c r="K1" s="17"/>
    </row>
    <row r="2" spans="1:11" x14ac:dyDescent="0.3">
      <c r="A2" s="17"/>
      <c r="B2" s="17"/>
      <c r="C2" s="17"/>
      <c r="D2" s="17"/>
      <c r="E2" s="17"/>
      <c r="F2" s="17"/>
      <c r="G2" s="17"/>
      <c r="H2" s="17"/>
      <c r="I2" s="17"/>
      <c r="J2" s="17"/>
      <c r="K2" s="17"/>
    </row>
    <row r="3" spans="1:11" ht="12" customHeight="1" x14ac:dyDescent="0.3">
      <c r="A3" s="9" t="s">
        <v>0</v>
      </c>
      <c r="B3" s="14" t="s">
        <v>27</v>
      </c>
      <c r="C3" s="9" t="s">
        <v>14</v>
      </c>
      <c r="D3" s="9" t="s">
        <v>28</v>
      </c>
      <c r="E3" s="9" t="s">
        <v>13</v>
      </c>
      <c r="F3" s="9" t="s">
        <v>11</v>
      </c>
      <c r="G3" s="9" t="s">
        <v>12</v>
      </c>
      <c r="H3" s="9" t="s">
        <v>1</v>
      </c>
      <c r="I3" s="10" t="s">
        <v>23</v>
      </c>
      <c r="J3" s="11" t="s">
        <v>21</v>
      </c>
      <c r="K3" s="11" t="s">
        <v>22</v>
      </c>
    </row>
    <row r="4" spans="1:11" x14ac:dyDescent="0.3">
      <c r="A4" s="3">
        <v>1</v>
      </c>
      <c r="B4" s="7" t="s">
        <v>20</v>
      </c>
      <c r="C4" s="3" t="s">
        <v>2</v>
      </c>
      <c r="D4" s="4" t="s">
        <v>15</v>
      </c>
      <c r="E4" s="3">
        <v>80</v>
      </c>
      <c r="F4" s="3">
        <v>39</v>
      </c>
      <c r="G4" s="3">
        <v>45</v>
      </c>
      <c r="H4" s="15"/>
      <c r="I4" s="12">
        <f>SUM(E4:H4)</f>
        <v>164</v>
      </c>
      <c r="J4" s="2">
        <f>AVERAGE(E4:H4)</f>
        <v>54.666666666666664</v>
      </c>
      <c r="K4" s="2" t="str">
        <f>_xlfn.CONCAT(B4, " ",C4)</f>
        <v>fill NONE</v>
      </c>
    </row>
    <row r="5" spans="1:11" x14ac:dyDescent="0.3">
      <c r="A5" s="3">
        <v>2</v>
      </c>
      <c r="B5" s="7" t="s">
        <v>19</v>
      </c>
      <c r="C5" s="3" t="s">
        <v>4</v>
      </c>
      <c r="D5" s="6" t="s">
        <v>7</v>
      </c>
      <c r="E5" s="7">
        <v>83</v>
      </c>
      <c r="F5" s="3">
        <v>80</v>
      </c>
      <c r="G5" s="3">
        <v>47</v>
      </c>
      <c r="H5" s="7">
        <v>45</v>
      </c>
      <c r="I5" s="12">
        <f>SUM(E5:H5)</f>
        <v>255</v>
      </c>
      <c r="J5" s="2">
        <f>AVERAGE(E5:H5)</f>
        <v>63.75</v>
      </c>
      <c r="K5" s="2" t="str">
        <f>_xlfn.CONCAT(B5, "  ", C5)</f>
        <v>goal  NO</v>
      </c>
    </row>
    <row r="6" spans="1:11" x14ac:dyDescent="0.3">
      <c r="A6" s="3">
        <v>4</v>
      </c>
      <c r="B6" s="7" t="s">
        <v>17</v>
      </c>
      <c r="C6" s="3" t="s">
        <v>5</v>
      </c>
      <c r="D6" s="4" t="s">
        <v>9</v>
      </c>
      <c r="E6" s="3">
        <v>86</v>
      </c>
      <c r="F6" s="3">
        <v>94</v>
      </c>
      <c r="G6" s="3">
        <v>30</v>
      </c>
      <c r="H6" s="7">
        <v>43</v>
      </c>
      <c r="I6" s="12">
        <f>SUM(E6:H6)</f>
        <v>253</v>
      </c>
      <c r="J6" s="2">
        <f>AVERAGE(E6:H6)</f>
        <v>63.25</v>
      </c>
      <c r="K6" s="2" t="str">
        <f>_xlfn.CONCAT(B6, " ",C6)</f>
        <v>noal NOE</v>
      </c>
    </row>
    <row r="7" spans="1:11" x14ac:dyDescent="0.3">
      <c r="A7" s="3">
        <v>3</v>
      </c>
      <c r="B7" s="7" t="s">
        <v>18</v>
      </c>
      <c r="C7" s="3" t="s">
        <v>3</v>
      </c>
      <c r="D7" s="4" t="s">
        <v>8</v>
      </c>
      <c r="E7" s="3">
        <v>56</v>
      </c>
      <c r="F7" s="3">
        <v>4</v>
      </c>
      <c r="G7" s="3">
        <v>75</v>
      </c>
      <c r="H7" s="5">
        <v>45</v>
      </c>
      <c r="I7" s="1">
        <f>SUM(E7:H7)</f>
        <v>180</v>
      </c>
      <c r="J7" s="2">
        <f>AVERAGE(E7:H7)</f>
        <v>45</v>
      </c>
      <c r="K7" s="2" t="str">
        <f>_xlfn.CONCAT(B7, " ",C7)</f>
        <v>root NON</v>
      </c>
    </row>
    <row r="8" spans="1:11" x14ac:dyDescent="0.3">
      <c r="A8" s="3">
        <v>5</v>
      </c>
      <c r="B8" s="7" t="s">
        <v>16</v>
      </c>
      <c r="C8" s="3" t="s">
        <v>6</v>
      </c>
      <c r="D8" s="4" t="s">
        <v>10</v>
      </c>
      <c r="E8" s="3">
        <v>79</v>
      </c>
      <c r="F8" s="3">
        <v>57</v>
      </c>
      <c r="G8" s="3">
        <v>65</v>
      </c>
      <c r="H8" s="8">
        <v>77</v>
      </c>
      <c r="I8" s="12">
        <f>SUM(E8:H8)</f>
        <v>278</v>
      </c>
      <c r="J8" s="2">
        <f>AVERAGE(E8:H8)</f>
        <v>69.5</v>
      </c>
      <c r="K8" s="2" t="str">
        <f>_xlfn.CONCAT(B8, " ",C8)</f>
        <v>sama ONE</v>
      </c>
    </row>
    <row r="9" spans="1:11" x14ac:dyDescent="0.3">
      <c r="K9" s="2"/>
    </row>
    <row r="10" spans="1:11" x14ac:dyDescent="0.3">
      <c r="B10" s="12"/>
      <c r="C10" s="1" t="s">
        <v>24</v>
      </c>
      <c r="D10" s="13" t="s">
        <v>25</v>
      </c>
      <c r="E10" t="s">
        <v>26</v>
      </c>
    </row>
    <row r="11" spans="1:11" x14ac:dyDescent="0.3">
      <c r="B11" s="1">
        <v>5.23</v>
      </c>
      <c r="C11">
        <f>ROUND(B11, 1)</f>
        <v>5.2</v>
      </c>
      <c r="D11">
        <f>ROUNDUP(B11,)</f>
        <v>6</v>
      </c>
      <c r="E11">
        <f>ROUNDDOWN(B11, 1)</f>
        <v>5.2</v>
      </c>
    </row>
    <row r="12" spans="1:11" x14ac:dyDescent="0.3">
      <c r="B12" s="1">
        <v>3.3330000000000002</v>
      </c>
      <c r="C12">
        <f t="shared" ref="C12:C13" si="0">ROUND(B12, 1)</f>
        <v>3.3</v>
      </c>
      <c r="D12">
        <f t="shared" ref="D12:D13" si="1">ROUNDUP(B12,)</f>
        <v>4</v>
      </c>
      <c r="E12">
        <f t="shared" ref="E12:E13" si="2">ROUNDDOWN(B12, 1)</f>
        <v>3.3</v>
      </c>
    </row>
    <row r="13" spans="1:11" x14ac:dyDescent="0.3">
      <c r="B13" s="1">
        <v>50.56</v>
      </c>
      <c r="C13">
        <f t="shared" si="0"/>
        <v>50.6</v>
      </c>
      <c r="D13">
        <f t="shared" si="1"/>
        <v>51</v>
      </c>
      <c r="E13">
        <f t="shared" si="2"/>
        <v>50.5</v>
      </c>
    </row>
    <row r="15" spans="1:11" x14ac:dyDescent="0.3">
      <c r="B15" t="s">
        <v>29</v>
      </c>
      <c r="C15" t="s">
        <v>41</v>
      </c>
      <c r="D15" t="s">
        <v>42</v>
      </c>
    </row>
    <row r="16" spans="1:11" hidden="1" x14ac:dyDescent="0.3">
      <c r="B16" t="s">
        <v>30</v>
      </c>
      <c r="C16" t="s">
        <v>39</v>
      </c>
      <c r="D16" t="s">
        <v>30</v>
      </c>
    </row>
    <row r="17" spans="1:13" x14ac:dyDescent="0.3">
      <c r="B17" t="s">
        <v>31</v>
      </c>
      <c r="C17" t="s">
        <v>35</v>
      </c>
      <c r="D17" t="s">
        <v>32</v>
      </c>
    </row>
    <row r="18" spans="1:13" x14ac:dyDescent="0.3">
      <c r="B18" t="s">
        <v>32</v>
      </c>
      <c r="C18" t="s">
        <v>36</v>
      </c>
      <c r="D18" t="s">
        <v>32</v>
      </c>
    </row>
    <row r="19" spans="1:13" hidden="1" x14ac:dyDescent="0.3">
      <c r="B19" t="s">
        <v>33</v>
      </c>
      <c r="C19" t="s">
        <v>37</v>
      </c>
      <c r="D19" t="s">
        <v>33</v>
      </c>
    </row>
    <row r="20" spans="1:13" hidden="1" x14ac:dyDescent="0.3">
      <c r="B20" t="s">
        <v>34</v>
      </c>
      <c r="C20" t="s">
        <v>38</v>
      </c>
      <c r="D20" t="s">
        <v>34</v>
      </c>
    </row>
    <row r="23" spans="1:13" x14ac:dyDescent="0.3">
      <c r="B23" s="16" t="s">
        <v>43</v>
      </c>
      <c r="D23" s="16" t="s">
        <v>35</v>
      </c>
      <c r="E23" t="s">
        <v>44</v>
      </c>
    </row>
    <row r="25" spans="1:13" x14ac:dyDescent="0.3">
      <c r="B25">
        <v>-91</v>
      </c>
      <c r="C25" s="18">
        <v>4567812345</v>
      </c>
    </row>
    <row r="26" spans="1:13" x14ac:dyDescent="0.3">
      <c r="B26">
        <v>-91</v>
      </c>
      <c r="C26" s="18">
        <v>3456712378</v>
      </c>
    </row>
    <row r="28" spans="1:13" x14ac:dyDescent="0.3">
      <c r="B28" t="s">
        <v>45</v>
      </c>
      <c r="C28" t="s">
        <v>46</v>
      </c>
      <c r="D28" t="s">
        <v>47</v>
      </c>
      <c r="E28" t="s">
        <v>48</v>
      </c>
    </row>
    <row r="29" spans="1:13" x14ac:dyDescent="0.3">
      <c r="B29" t="s">
        <v>49</v>
      </c>
      <c r="C29" t="s">
        <v>50</v>
      </c>
      <c r="D29" t="s">
        <v>51</v>
      </c>
      <c r="E29" t="s">
        <v>52</v>
      </c>
    </row>
    <row r="30" spans="1:13" x14ac:dyDescent="0.3">
      <c r="B30" t="s">
        <v>53</v>
      </c>
      <c r="C30" t="s">
        <v>54</v>
      </c>
      <c r="D30" t="s">
        <v>55</v>
      </c>
      <c r="E30" t="s">
        <v>56</v>
      </c>
    </row>
    <row r="32" spans="1:13" x14ac:dyDescent="0.3">
      <c r="A32" s="19" t="s">
        <v>29</v>
      </c>
      <c r="B32" s="19" t="s">
        <v>57</v>
      </c>
      <c r="C32" s="19" t="s">
        <v>62</v>
      </c>
      <c r="D32" s="19" t="s">
        <v>63</v>
      </c>
      <c r="E32" s="19" t="s">
        <v>64</v>
      </c>
      <c r="F32" s="19" t="s">
        <v>61</v>
      </c>
      <c r="G32" s="19" t="s">
        <v>72</v>
      </c>
      <c r="H32" s="19" t="s">
        <v>41</v>
      </c>
      <c r="J32" t="s">
        <v>57</v>
      </c>
      <c r="K32" t="s">
        <v>73</v>
      </c>
      <c r="L32" t="s">
        <v>74</v>
      </c>
      <c r="M32" t="s">
        <v>75</v>
      </c>
    </row>
    <row r="33" spans="1:11" x14ac:dyDescent="0.3">
      <c r="A33" s="19"/>
      <c r="B33" s="19" t="s">
        <v>59</v>
      </c>
      <c r="C33" s="19">
        <v>32</v>
      </c>
      <c r="D33" s="19" t="s">
        <v>67</v>
      </c>
      <c r="E33" s="19" t="s">
        <v>69</v>
      </c>
      <c r="F33" s="19">
        <v>32000</v>
      </c>
      <c r="G33" s="19">
        <v>23</v>
      </c>
      <c r="H33" s="19"/>
      <c r="J33" t="s">
        <v>58</v>
      </c>
      <c r="K33" t="e">
        <f>VLOOKUP(J33,A31:$H$38,5,0)</f>
        <v>#N/A</v>
      </c>
    </row>
    <row r="34" spans="1:11" x14ac:dyDescent="0.3">
      <c r="A34" s="19"/>
      <c r="B34" s="19" t="s">
        <v>58</v>
      </c>
      <c r="C34" s="19">
        <v>35</v>
      </c>
      <c r="D34" s="19" t="s">
        <v>68</v>
      </c>
      <c r="E34" s="19" t="s">
        <v>70</v>
      </c>
      <c r="F34" s="19">
        <v>56000</v>
      </c>
      <c r="G34" s="19">
        <v>45</v>
      </c>
      <c r="H34" s="19"/>
      <c r="J34" t="s">
        <v>60</v>
      </c>
    </row>
    <row r="35" spans="1:11" x14ac:dyDescent="0.3">
      <c r="A35" s="19"/>
      <c r="B35" s="19" t="s">
        <v>60</v>
      </c>
      <c r="C35" s="19">
        <v>50</v>
      </c>
      <c r="D35" s="19" t="s">
        <v>68</v>
      </c>
      <c r="E35" s="19" t="s">
        <v>70</v>
      </c>
      <c r="F35" s="19">
        <v>4500</v>
      </c>
      <c r="G35" s="19">
        <v>65</v>
      </c>
      <c r="H35" s="19"/>
      <c r="J35" t="s">
        <v>66</v>
      </c>
    </row>
    <row r="36" spans="1:11" x14ac:dyDescent="0.3">
      <c r="A36" s="19"/>
      <c r="B36" s="19" t="s">
        <v>65</v>
      </c>
      <c r="C36" s="19">
        <v>34</v>
      </c>
      <c r="D36" s="19" t="s">
        <v>67</v>
      </c>
      <c r="E36" s="19" t="s">
        <v>71</v>
      </c>
      <c r="F36" s="19">
        <v>543</v>
      </c>
      <c r="G36" s="19">
        <v>24</v>
      </c>
      <c r="H36" s="19"/>
    </row>
    <row r="37" spans="1:11" x14ac:dyDescent="0.3">
      <c r="A37" s="19"/>
      <c r="B37" s="19" t="s">
        <v>66</v>
      </c>
      <c r="C37" s="19">
        <v>23</v>
      </c>
      <c r="D37" s="19" t="s">
        <v>67</v>
      </c>
      <c r="E37" s="19" t="s">
        <v>69</v>
      </c>
      <c r="F37" s="19">
        <v>34000</v>
      </c>
      <c r="G37" s="19">
        <v>36</v>
      </c>
      <c r="H37" s="19"/>
    </row>
  </sheetData>
  <mergeCells count="1">
    <mergeCell ref="A1:K2"/>
  </mergeCells>
  <phoneticPr fontId="1" type="noConversion"/>
  <conditionalFormatting sqref="B4:C8 B10:C10">
    <cfRule type="duplicateValues" dxfId="10" priority="1"/>
  </conditionalFormatting>
  <conditionalFormatting sqref="G4:G8">
    <cfRule type="colorScale" priority="2">
      <colorScale>
        <cfvo type="min"/>
        <cfvo type="percentile" val="50"/>
        <cfvo type="max"/>
        <color rgb="FFF8696B"/>
        <color rgb="FFFFEB84"/>
        <color rgb="FF63BE7B"/>
      </colorScale>
    </cfRule>
  </conditionalFormatting>
  <dataValidations count="1">
    <dataValidation type="list" allowBlank="1" showInputMessage="1" showErrorMessage="1" sqref="D17:D20" xr:uid="{ADBCFD1E-E3B8-4DD2-8746-6FF6F5CF58C4}">
      <formula1>$B$17:$B$20</formula1>
    </dataValidation>
  </dataValidations>
  <hyperlinks>
    <hyperlink ref="B3" r:id="rId1" xr:uid="{871D737A-F2AD-4024-BDEA-2F566D8D3AB9}"/>
    <hyperlink ref="B23" r:id="rId2" xr:uid="{86C3F03A-82DB-4C0D-B8CD-510E3BF779C8}"/>
    <hyperlink ref="D23" r:id="rId3" display="priya@gmail.com" xr:uid="{A301F8DB-B8D1-4B06-8EA6-6AAB4AD975F6}"/>
  </hyperlinks>
  <pageMargins left="0.7" right="0.7" top="0.75" bottom="0.75" header="0.3" footer="0.3"/>
  <pageSetup orientation="portrait" r:id="rId4"/>
  <drawing r:id="rId5"/>
  <legacyDrawing r:id="rId6"/>
  <tableParts count="2">
    <tablePart r:id="rId7"/>
    <tablePart r:id="rId8"/>
  </tableParts>
  <extLst>
    <ext xmlns:x15="http://schemas.microsoft.com/office/spreadsheetml/2010/11/main" uri="{3A4CF648-6AED-40f4-86FF-DC5316D8AED3}">
      <x14:slicerList xmlns:x14="http://schemas.microsoft.com/office/spreadsheetml/2009/9/main">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SAMARTH BHARDWAJ</dc:creator>
  <cp:lastModifiedBy>SAMARTH BHARDWAJ</cp:lastModifiedBy>
  <dcterms:created xsi:type="dcterms:W3CDTF">2026-09-27T11:52:36Z</dcterms:created>
  <dcterms:modified xsi:type="dcterms:W3CDTF">2026-09-30T10:45:09Z</dcterms:modified>
</cp:coreProperties>
</file>